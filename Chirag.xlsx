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8\Downloads\"/>
    </mc:Choice>
  </mc:AlternateContent>
  <xr:revisionPtr revIDLastSave="0" documentId="13_ncr:1_{BEC9AF04-530A-4019-8951-3A69CFDC53FF}" xr6:coauthVersionLast="47" xr6:coauthVersionMax="47" xr10:uidLastSave="{00000000-0000-0000-0000-000000000000}"/>
  <bookViews>
    <workbookView xWindow="-110" yWindow="-110" windowWidth="19420" windowHeight="10300" firstSheet="2" activeTab="3" xr2:uid="{E285D689-9212-4C98-A18A-AB723154AC33}"/>
  </bookViews>
  <sheets>
    <sheet name="Employee Sheet" sheetId="3" r:id="rId1"/>
    <sheet name="Sales Report Beautifications" sheetId="1" r:id="rId2"/>
    <sheet name="Sales Summary - Aggregation Fun" sheetId="5" r:id="rId3"/>
    <sheet name="Department Wise Salary Analysis" sheetId="6" r:id="rId4"/>
    <sheet name="Attendance Sheet – COUNTIF" sheetId="7" r:id="rId5"/>
    <sheet name="Sales Count Logic" sheetId="8" r:id="rId6"/>
    <sheet name="Conditional Formatting – Sales" sheetId="9" r:id="rId7"/>
    <sheet name="Student Result Highlight" sheetId="10" r:id="rId8"/>
    <sheet name="Salary Band – Conditional Forma" sheetId="11" r:id="rId9"/>
    <sheet name="Student Marksheet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6" l="1" a="1"/>
  <c r="D2" i="6" s="1"/>
  <c r="H2" i="5"/>
  <c r="G2" i="5"/>
  <c r="F2" i="5"/>
  <c r="I2" i="5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H6" i="7"/>
  <c r="H7" i="7"/>
  <c r="H8" i="7"/>
  <c r="H9" i="7"/>
  <c r="H10" i="7"/>
  <c r="H11" i="7"/>
  <c r="G6" i="7"/>
  <c r="G7" i="7"/>
  <c r="G8" i="7"/>
  <c r="G9" i="7"/>
  <c r="G10" i="7"/>
  <c r="G11" i="7"/>
  <c r="H3" i="7"/>
  <c r="H4" i="7"/>
  <c r="H5" i="7"/>
  <c r="H2" i="7"/>
  <c r="G3" i="7"/>
  <c r="G4" i="7"/>
  <c r="G5" i="7"/>
  <c r="G2" i="7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E2" i="3"/>
  <c r="C2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3" i="1"/>
  <c r="E21" i="3"/>
  <c r="C21" i="3"/>
  <c r="B21" i="3"/>
  <c r="E20" i="3"/>
  <c r="C20" i="3"/>
  <c r="B20" i="3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E14" i="3"/>
  <c r="C14" i="3"/>
  <c r="B14" i="3"/>
  <c r="E13" i="3"/>
  <c r="C13" i="3"/>
  <c r="B13" i="3"/>
  <c r="E12" i="3"/>
  <c r="C12" i="3"/>
  <c r="B12" i="3"/>
  <c r="E11" i="3"/>
  <c r="C11" i="3"/>
  <c r="B11" i="3"/>
  <c r="E10" i="3"/>
  <c r="C10" i="3"/>
  <c r="B10" i="3"/>
  <c r="E9" i="3"/>
  <c r="C9" i="3"/>
  <c r="B9" i="3"/>
  <c r="E8" i="3"/>
  <c r="C8" i="3"/>
  <c r="B8" i="3"/>
  <c r="E7" i="3"/>
  <c r="C7" i="3"/>
  <c r="B7" i="3"/>
  <c r="E6" i="3"/>
  <c r="C6" i="3"/>
  <c r="B6" i="3"/>
  <c r="E5" i="3"/>
  <c r="C5" i="3"/>
  <c r="B5" i="3"/>
  <c r="E4" i="3"/>
  <c r="C4" i="3"/>
  <c r="B4" i="3"/>
  <c r="E3" i="3"/>
  <c r="C3" i="3"/>
  <c r="B3" i="3"/>
  <c r="C2" i="3"/>
  <c r="B2" i="3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H1" authorId="0" shapeId="0" xr:uid="{1DCF78C2-FBA9-4418-9B1A-6D5910D12C40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Calculate Percentage
Format percentage column
Apply cell styles to headers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E1" authorId="0" shapeId="0" xr:uid="{299D4157-C389-42AE-AC0F-DAB59953A395}">
      <text>
        <r>
          <rPr>
            <b/>
            <sz val="9"/>
            <color indexed="81"/>
            <rFont val="Tahoma"/>
            <family val="2"/>
          </rPr>
          <t>Calculate Total Sales
Find Average Sales
Identify Highest &amp; Lowest Sale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E1" authorId="0" shapeId="0" xr:uid="{72D77539-34FC-41E0-B044-9BA31BBF5491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Total salary per department
Average salary
Count employees'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H2" authorId="0" shapeId="0" xr:uid="{D44DD2CF-F863-4F35-9E86-F9ACC7F372E4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Count Present days
Count Absent days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D4" authorId="0" shapeId="0" xr:uid="{AE5EDDB3-FE0E-4770-8915-8EEA93DDC179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Count sales above 10000
Count sales below 5000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D4" authorId="0" shapeId="0" xr:uid="{E5F7D6E5-EFA5-4339-A087-B23B2F763BA1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Highlight sales &gt; 20000 (Green)
Highlight sales &lt; 5000 (Red)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F3" authorId="0" shapeId="0" xr:uid="{24811B6B-DA6C-4BB6-A161-B5F7ABCB5BF6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Marks ≥ 75 → Green
Marks &lt; 40 → Red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E3" authorId="0" shapeId="0" xr:uid="{9E3867CA-07B2-41AA-916C-17500FC01685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≥ 50000 → Dark Green
30000–49999 → Yellow
&lt; 30000 → Light Red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<sst xmlns="http://schemas.openxmlformats.org/spreadsheetml/2006/main" count="188" uniqueCount="99">
  <si>
    <t>Employee ID</t>
  </si>
  <si>
    <t>Name</t>
  </si>
  <si>
    <t>Department</t>
  </si>
  <si>
    <t>Salary</t>
  </si>
  <si>
    <t>Joining Date</t>
  </si>
  <si>
    <t>E101</t>
  </si>
  <si>
    <t>HR</t>
  </si>
  <si>
    <t>E102</t>
  </si>
  <si>
    <t>IT</t>
  </si>
  <si>
    <t>E103</t>
  </si>
  <si>
    <t>Finance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</si>
  <si>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</si>
  <si>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</si>
  <si>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</si>
  <si>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</si>
  <si>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</si>
  <si>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</si>
  <si>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</si>
  <si>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</si>
  <si>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</si>
  <si>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</si>
  <si>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</si>
  <si>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</si>
  <si>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</si>
  <si>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</si>
  <si>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</si>
  <si>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</si>
  <si>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</si>
  <si>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Sales Person Name</t>
  </si>
  <si>
    <t>Sales Amount</t>
  </si>
  <si>
    <t>Region</t>
  </si>
  <si>
    <t>Product Name</t>
  </si>
  <si>
    <t>Monthly Sales Report</t>
  </si>
  <si>
    <t>Laptop Dell Inspiron 15</t>
  </si>
  <si>
    <t>HP Wireless Mouse</t>
  </si>
  <si>
    <t>Samsung 24-inch Monitor</t>
  </si>
  <si>
    <t>Lenovo ThinkPad E 14 Laptop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</si>
  <si>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</si>
  <si>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</si>
  <si>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</si>
  <si>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</si>
  <si>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</si>
  <si>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</si>
  <si>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</si>
  <si>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</si>
  <si>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</si>
  <si>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</si>
  <si>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</si>
  <si>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</si>
  <si>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</si>
  <si>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</si>
  <si>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</si>
  <si>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</si>
  <si>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</si>
  <si>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</si>
  <si>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Employee Name</t>
  </si>
  <si>
    <t>Suresh</t>
  </si>
  <si>
    <t>Meena</t>
  </si>
  <si>
    <t>Karan</t>
  </si>
  <si>
    <t>Ritu</t>
  </si>
  <si>
    <t>Aman</t>
  </si>
  <si>
    <t>Neel</t>
  </si>
  <si>
    <t>Day 1</t>
  </si>
  <si>
    <t>Day 2</t>
  </si>
  <si>
    <t>Day 3</t>
  </si>
  <si>
    <t>Day 4</t>
  </si>
  <si>
    <t>Day 5</t>
  </si>
  <si>
    <t>P</t>
  </si>
  <si>
    <t>A</t>
  </si>
  <si>
    <t>Order ID</t>
  </si>
  <si>
    <t>O101</t>
  </si>
  <si>
    <t>O102</t>
  </si>
  <si>
    <t>O103</t>
  </si>
  <si>
    <t>O104</t>
  </si>
  <si>
    <t>O105</t>
  </si>
  <si>
    <t>O106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</si>
  <si>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</si>
  <si>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</si>
  <si>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</si>
  <si>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</si>
  <si>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</si>
  <si>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</si>
  <si>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</si>
  <si>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</si>
  <si>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</si>
  <si>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</si>
  <si>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</si>
  <si>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/>
  </si>
  <si>
    <t>Rohit</t>
  </si>
  <si>
    <t>Simran</t>
  </si>
  <si>
    <t>Vijay</t>
  </si>
  <si>
    <t>Nisha</t>
  </si>
  <si>
    <t>Mohan</t>
  </si>
  <si>
    <t>Present</t>
  </si>
  <si>
    <t>Absent</t>
  </si>
  <si>
    <t>Lowest Sale</t>
  </si>
  <si>
    <t>Highest Sale</t>
  </si>
  <si>
    <t>Average Sale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</si>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</sst>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4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68" fontId="0" fillId="0" borderId="1" xfId="0" applyNumberFormat="1" applyBorder="1"/>
    <xf numFmtId="9" fontId="0" fillId="0" borderId="0" xfId="2" applyFont="1"/>
    <xf numFmtId="44" fontId="0" fillId="0" borderId="0" xfId="1" applyFont="1"/>
    <xf numFmtId="0" fontId="2" fillId="0" borderId="0" xfId="0" applyFont="1" applyAlignment="1">
      <alignment horizontal="left" vertical="center" wrapText="1" indent="1"/>
    </xf>
    <xf numFmtId="0" fontId="0" fillId="3" borderId="1" xfId="0" applyFill="1" applyBorder="1"/>
    <xf numFmtId="0" fontId="0" fillId="4" borderId="1" xfId="0" applyFill="1" applyBorder="1"/>
    <xf numFmtId="0" fontId="0" fillId="0" borderId="0" xfId="0" quotePrefix="1"/>
    <xf numFmtId="0" fontId="0" fillId="0" borderId="1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C6D0-8746-4A78-BCBF-7F41EE3B150E}">
  <dimension ref="A1:E21"/>
  <sheetViews>
    <sheetView zoomScale="130" zoomScaleNormal="130" workbookViewId="0">
      <selection activeCell="E2" sqref="E2"/>
    </sheetView>
  </sheetViews>
  <sheetFormatPr defaultRowHeight="14.5" x14ac:dyDescent="0.35"/>
  <cols>
    <col min="1" max="1" width="11.26953125" bestFit="1" customWidth="1"/>
    <col min="2" max="2" width="11.54296875" bestFit="1" customWidth="1"/>
    <col min="3" max="3" width="10.90625" bestFit="1" customWidth="1"/>
    <col min="4" max="4" width="11.26953125" bestFit="1" customWidth="1"/>
    <col min="5" max="5" width="10.9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tr">
        <f ca="1">CHOOSE(RANDBETWEEN(1,7),"Rohan","Aditi","Ramu","Het","Ruhi","Neel","Ramesh")</f>
        <v>Ramu</v>
      </c>
      <c r="C2" s="3" t="str">
        <f ca="1">CHOOSE(RANDBETWEEN(1,4),"Sales","HR","Marketing","Finance")</f>
        <v>Marketing</v>
      </c>
      <c r="D2" s="6">
        <v>20000</v>
      </c>
      <c r="E2" s="4">
        <f ca="1">RANDBETWEEN(DATE(2026,1,1),DATE(2026,7,4))</f>
        <v>46173</v>
      </c>
    </row>
    <row r="3" spans="1:5" x14ac:dyDescent="0.35">
      <c r="A3" s="3" t="s">
        <v>7</v>
      </c>
      <c r="B3" s="3" t="str">
        <f t="shared" ref="B3:B21" ca="1" si="0">CHOOSE(RANDBETWEEN(1,7),"Rohan","Aditi","Ramu","Het","Ruhi","Neel","Ramesh")</f>
        <v>Ramu</v>
      </c>
      <c r="C3" s="3" t="str">
        <f t="shared" ref="C3:C21" ca="1" si="1">CHOOSE(RANDBETWEEN(1,4),"Sales","HR","Marketing","Finance")</f>
        <v>Sales</v>
      </c>
      <c r="D3" s="6">
        <v>20000</v>
      </c>
      <c r="E3" s="4">
        <f t="shared" ref="E3:E21" ca="1" si="2">RANDBETWEEN(DATE(2026,1,1),DATE(2026,7,4))</f>
        <v>46103</v>
      </c>
    </row>
    <row r="4" spans="1:5" x14ac:dyDescent="0.35">
      <c r="A4" s="3" t="s">
        <v>9</v>
      </c>
      <c r="B4" s="3" t="str">
        <f t="shared" ca="1" si="0"/>
        <v>Neel</v>
      </c>
      <c r="C4" s="3" t="str">
        <f t="shared" ca="1" si="1"/>
        <v>Marketing</v>
      </c>
      <c r="D4" s="6">
        <v>20000</v>
      </c>
      <c r="E4" s="4">
        <f t="shared" ca="1" si="2"/>
        <v>46197</v>
      </c>
    </row>
    <row r="5" spans="1:5" x14ac:dyDescent="0.35">
      <c r="A5" s="3" t="s">
        <v>11</v>
      </c>
      <c r="B5" s="3" t="str">
        <f t="shared" ca="1" si="0"/>
        <v>Rohan</v>
      </c>
      <c r="C5" s="3" t="str">
        <f t="shared" ca="1" si="1"/>
        <v>Marketing</v>
      </c>
      <c r="D5" s="6">
        <v>20000</v>
      </c>
      <c r="E5" s="4">
        <f t="shared" ca="1" si="2"/>
        <v>46071</v>
      </c>
    </row>
    <row r="6" spans="1:5" x14ac:dyDescent="0.35">
      <c r="A6" s="3" t="s">
        <v>12</v>
      </c>
      <c r="B6" s="3" t="str">
        <f t="shared" ca="1" si="0"/>
        <v>Aditi</v>
      </c>
      <c r="C6" s="3" t="str">
        <f t="shared" ca="1" si="1"/>
        <v>Sales</v>
      </c>
      <c r="D6" s="6">
        <v>20000</v>
      </c>
      <c r="E6" s="4">
        <f t="shared" ca="1" si="2"/>
        <v>46070</v>
      </c>
    </row>
    <row r="7" spans="1:5" x14ac:dyDescent="0.35">
      <c r="A7" s="3" t="s">
        <v>13</v>
      </c>
      <c r="B7" s="3" t="str">
        <f t="shared" ca="1" si="0"/>
        <v>Ruhi</v>
      </c>
      <c r="C7" s="3" t="str">
        <f t="shared" ca="1" si="1"/>
        <v>Marketing</v>
      </c>
      <c r="D7" s="6">
        <v>20000</v>
      </c>
      <c r="E7" s="4">
        <f t="shared" ca="1" si="2"/>
        <v>46035</v>
      </c>
    </row>
    <row r="8" spans="1:5" x14ac:dyDescent="0.35">
      <c r="A8" s="3" t="s">
        <v>14</v>
      </c>
      <c r="B8" s="3" t="str">
        <f t="shared" ca="1" si="0"/>
        <v>Neel</v>
      </c>
      <c r="C8" s="3" t="str">
        <f t="shared" ca="1" si="1"/>
        <v>Marketing</v>
      </c>
      <c r="D8" s="6">
        <v>20000</v>
      </c>
      <c r="E8" s="4">
        <f t="shared" ca="1" si="2"/>
        <v>46028</v>
      </c>
    </row>
    <row r="9" spans="1:5" x14ac:dyDescent="0.35">
      <c r="A9" s="3" t="s">
        <v>15</v>
      </c>
      <c r="B9" s="3" t="str">
        <f t="shared" ca="1" si="0"/>
        <v>Aditi</v>
      </c>
      <c r="C9" s="3" t="str">
        <f t="shared" ca="1" si="1"/>
        <v>Sales</v>
      </c>
      <c r="D9" s="6">
        <v>20000</v>
      </c>
      <c r="E9" s="4">
        <f t="shared" ca="1" si="2"/>
        <v>46067</v>
      </c>
    </row>
    <row r="10" spans="1:5" x14ac:dyDescent="0.35">
      <c r="A10" s="3" t="s">
        <v>16</v>
      </c>
      <c r="B10" s="3" t="str">
        <f t="shared" ca="1" si="0"/>
        <v>Aditi</v>
      </c>
      <c r="C10" s="3" t="str">
        <f t="shared" ca="1" si="1"/>
        <v>HR</v>
      </c>
      <c r="D10" s="6">
        <v>20000</v>
      </c>
      <c r="E10" s="4">
        <f t="shared" ca="1" si="2"/>
        <v>46193</v>
      </c>
    </row>
    <row r="11" spans="1:5" x14ac:dyDescent="0.35">
      <c r="A11" s="3" t="s">
        <v>17</v>
      </c>
      <c r="B11" s="3" t="str">
        <f t="shared" ca="1" si="0"/>
        <v>Het</v>
      </c>
      <c r="C11" s="3" t="str">
        <f t="shared" ca="1" si="1"/>
        <v>Marketing</v>
      </c>
      <c r="D11" s="6">
        <v>20000</v>
      </c>
      <c r="E11" s="4">
        <f t="shared" ca="1" si="2"/>
        <v>46025</v>
      </c>
    </row>
    <row r="12" spans="1:5" x14ac:dyDescent="0.35">
      <c r="A12" s="3" t="s">
        <v>18</v>
      </c>
      <c r="B12" s="3" t="str">
        <f t="shared" ca="1" si="0"/>
        <v>Ruhi</v>
      </c>
      <c r="C12" s="3" t="str">
        <f t="shared" ca="1" si="1"/>
        <v>Finance</v>
      </c>
      <c r="D12" s="6">
        <v>20000</v>
      </c>
      <c r="E12" s="4">
        <f t="shared" ca="1" si="2"/>
        <v>46128</v>
      </c>
    </row>
    <row r="13" spans="1:5" x14ac:dyDescent="0.35">
      <c r="A13" s="3" t="s">
        <v>19</v>
      </c>
      <c r="B13" s="3" t="str">
        <f t="shared" ca="1" si="0"/>
        <v>Ramesh</v>
      </c>
      <c r="C13" s="3" t="str">
        <f t="shared" ca="1" si="1"/>
        <v>HR</v>
      </c>
      <c r="D13" s="6">
        <v>20000</v>
      </c>
      <c r="E13" s="4">
        <f t="shared" ca="1" si="2"/>
        <v>46051</v>
      </c>
    </row>
    <row r="14" spans="1:5" x14ac:dyDescent="0.35">
      <c r="A14" s="3" t="s">
        <v>20</v>
      </c>
      <c r="B14" s="3" t="str">
        <f t="shared" ca="1" si="0"/>
        <v>Het</v>
      </c>
      <c r="C14" s="3" t="str">
        <f t="shared" ca="1" si="1"/>
        <v>Sales</v>
      </c>
      <c r="D14" s="6">
        <v>20000</v>
      </c>
      <c r="E14" s="4">
        <f t="shared" ca="1" si="2"/>
        <v>46093</v>
      </c>
    </row>
    <row r="15" spans="1:5" x14ac:dyDescent="0.35">
      <c r="A15" s="3" t="s">
        <v>21</v>
      </c>
      <c r="B15" s="3" t="str">
        <f t="shared" ca="1" si="0"/>
        <v>Ramesh</v>
      </c>
      <c r="C15" s="3" t="str">
        <f t="shared" ca="1" si="1"/>
        <v>HR</v>
      </c>
      <c r="D15" s="6">
        <v>20000</v>
      </c>
      <c r="E15" s="4">
        <f t="shared" ca="1" si="2"/>
        <v>46166</v>
      </c>
    </row>
    <row r="16" spans="1:5" x14ac:dyDescent="0.35">
      <c r="A16" s="3" t="s">
        <v>22</v>
      </c>
      <c r="B16" s="3" t="str">
        <f t="shared" ca="1" si="0"/>
        <v>Ramu</v>
      </c>
      <c r="C16" s="3" t="str">
        <f t="shared" ca="1" si="1"/>
        <v>Finance</v>
      </c>
      <c r="D16" s="6">
        <v>20000</v>
      </c>
      <c r="E16" s="4">
        <f t="shared" ca="1" si="2"/>
        <v>46102</v>
      </c>
    </row>
    <row r="17" spans="1:5" x14ac:dyDescent="0.35">
      <c r="A17" s="3" t="s">
        <v>23</v>
      </c>
      <c r="B17" s="3" t="str">
        <f t="shared" ca="1" si="0"/>
        <v>Het</v>
      </c>
      <c r="C17" s="3" t="str">
        <f t="shared" ca="1" si="1"/>
        <v>Sales</v>
      </c>
      <c r="D17" s="6">
        <v>20000</v>
      </c>
      <c r="E17" s="4">
        <f t="shared" ca="1" si="2"/>
        <v>46148</v>
      </c>
    </row>
    <row r="18" spans="1:5" x14ac:dyDescent="0.35">
      <c r="A18" s="3" t="s">
        <v>24</v>
      </c>
      <c r="B18" s="3" t="str">
        <f t="shared" ca="1" si="0"/>
        <v>Aditi</v>
      </c>
      <c r="C18" s="3" t="str">
        <f t="shared" ca="1" si="1"/>
        <v>Marketing</v>
      </c>
      <c r="D18" s="6">
        <v>20000</v>
      </c>
      <c r="E18" s="4">
        <f t="shared" ca="1" si="2"/>
        <v>46191</v>
      </c>
    </row>
    <row r="19" spans="1:5" x14ac:dyDescent="0.35">
      <c r="A19" s="3" t="s">
        <v>25</v>
      </c>
      <c r="B19" s="3" t="str">
        <f t="shared" ca="1" si="0"/>
        <v>Ramu</v>
      </c>
      <c r="C19" s="3" t="str">
        <f t="shared" ca="1" si="1"/>
        <v>HR</v>
      </c>
      <c r="D19" s="6">
        <v>20000</v>
      </c>
      <c r="E19" s="4">
        <f t="shared" ca="1" si="2"/>
        <v>46034</v>
      </c>
    </row>
    <row r="20" spans="1:5" x14ac:dyDescent="0.35">
      <c r="A20" s="3" t="s">
        <v>26</v>
      </c>
      <c r="B20" s="3" t="str">
        <f t="shared" ca="1" si="0"/>
        <v>Ruhi</v>
      </c>
      <c r="C20" s="3" t="str">
        <f t="shared" ca="1" si="1"/>
        <v>Finance</v>
      </c>
      <c r="D20" s="6">
        <v>20000</v>
      </c>
      <c r="E20" s="4">
        <f t="shared" ca="1" si="2"/>
        <v>46197</v>
      </c>
    </row>
    <row r="21" spans="1:5" x14ac:dyDescent="0.35">
      <c r="A21" s="3" t="s">
        <v>27</v>
      </c>
      <c r="B21" s="3" t="str">
        <f t="shared" ca="1" si="0"/>
        <v>Ruhi</v>
      </c>
      <c r="C21" s="3" t="str">
        <f t="shared" ca="1" si="1"/>
        <v>Finance</v>
      </c>
      <c r="D21" s="6">
        <v>20000</v>
      </c>
      <c r="E21" s="4">
        <f t="shared" ca="1" si="2"/>
        <v>46081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4F2B-43E8-4D46-97CA-75B985A1472E}">
  <dimension ref="A1:H22"/>
  <sheetViews>
    <sheetView topLeftCell="A10" zoomScale="70" zoomScaleNormal="70" workbookViewId="0">
      <selection activeCell="G14" sqref="G14"/>
    </sheetView>
  </sheetViews>
  <sheetFormatPr defaultRowHeight="14.5" x14ac:dyDescent="0.35"/>
  <cols>
    <col min="1" max="1" width="12.90625" bestFit="1" customWidth="1"/>
    <col min="2" max="2" width="16.7265625" bestFit="1" customWidth="1"/>
    <col min="3" max="3" width="10.90625" bestFit="1" customWidth="1"/>
    <col min="4" max="4" width="12.26953125" bestFit="1" customWidth="1"/>
    <col min="5" max="5" width="11" bestFit="1" customWidth="1"/>
    <col min="6" max="6" width="10.08984375" bestFit="1" customWidth="1"/>
  </cols>
  <sheetData>
    <row r="1" spans="1:8" x14ac:dyDescent="0.35">
      <c r="A1" s="13" t="s">
        <v>32</v>
      </c>
      <c r="B1" s="13"/>
      <c r="C1" s="13"/>
      <c r="D1" s="13"/>
      <c r="E1" s="13"/>
    </row>
    <row r="2" spans="1:8" x14ac:dyDescent="0.35">
      <c r="A2" s="2" t="s">
        <v>31</v>
      </c>
      <c r="B2" s="2" t="s">
        <v>28</v>
      </c>
      <c r="C2" s="2" t="s">
        <v>30</v>
      </c>
      <c r="D2" s="2" t="s">
        <v>29</v>
      </c>
      <c r="E2" s="2" t="s">
        <v>4</v>
      </c>
    </row>
    <row r="3" spans="1:8" ht="29" x14ac:dyDescent="0.35">
      <c r="A3" s="5" t="s">
        <v>33</v>
      </c>
      <c r="B3" s="3" t="str">
        <f ca="1">CHOOSE(RANDBETWEEN(1,7),"Rohan","Aditi","Ramu","Het","Ruhi","Neel","Ramesh")</f>
        <v>Neel</v>
      </c>
      <c r="C3" s="3" t="str">
        <f ca="1">CHOOSE(RANDBETWEEN(1,4),"North","West","East","South")</f>
        <v>East</v>
      </c>
      <c r="D3" s="3">
        <f ca="1">RANDBETWEEN(DATE(2026,1,1),DATE(2026,7,4))</f>
        <v>46113</v>
      </c>
      <c r="E3" s="4">
        <f ca="1">RANDBETWEEN(DATE(2026,1,1),DATE(2026,7,4))</f>
        <v>46086</v>
      </c>
    </row>
    <row r="4" spans="1:8" ht="29" x14ac:dyDescent="0.35">
      <c r="A4" s="5" t="s">
        <v>34</v>
      </c>
      <c r="B4" s="3" t="str">
        <f t="shared" ref="B4:B22" ca="1" si="0">CHOOSE(RANDBETWEEN(1,7),"Rohan","Aditi","Ramu","Het","Ruhi","Neel","Ramesh")</f>
        <v>Ruhi</v>
      </c>
      <c r="C4" s="3" t="str">
        <f t="shared" ref="C4:C22" ca="1" si="1">CHOOSE(RANDBETWEEN(1,4),"North","West","East","South")</f>
        <v>East</v>
      </c>
      <c r="D4" s="3">
        <f t="shared" ref="D4:E22" ca="1" si="2">RANDBETWEEN(DATE(2026,1,1),DATE(2026,7,4))</f>
        <v>46100</v>
      </c>
      <c r="E4" s="4">
        <f t="shared" ca="1" si="2"/>
        <v>46057</v>
      </c>
    </row>
    <row r="5" spans="1:8" ht="29" x14ac:dyDescent="0.35">
      <c r="A5" s="5" t="s">
        <v>35</v>
      </c>
      <c r="B5" s="3" t="str">
        <f t="shared" ca="1" si="0"/>
        <v>Het</v>
      </c>
      <c r="C5" s="3" t="str">
        <f t="shared" ca="1" si="1"/>
        <v>East</v>
      </c>
      <c r="D5" s="3">
        <f t="shared" ca="1" si="2"/>
        <v>46037</v>
      </c>
      <c r="E5" s="4">
        <f t="shared" ca="1" si="2"/>
        <v>46207</v>
      </c>
      <c r="G5" s="9"/>
    </row>
    <row r="6" spans="1:8" ht="43.5" x14ac:dyDescent="0.35">
      <c r="A6" s="5" t="s">
        <v>36</v>
      </c>
      <c r="B6" s="3" t="str">
        <f t="shared" ca="1" si="0"/>
        <v>Neel</v>
      </c>
      <c r="C6" s="3" t="str">
        <f t="shared" ca="1" si="1"/>
        <v>North</v>
      </c>
      <c r="D6" s="3">
        <f t="shared" ca="1" si="2"/>
        <v>46116</v>
      </c>
      <c r="E6" s="4">
        <f t="shared" ca="1" si="2"/>
        <v>46033</v>
      </c>
      <c r="G6" s="9"/>
    </row>
    <row r="7" spans="1:8" ht="29" x14ac:dyDescent="0.35">
      <c r="A7" s="5" t="s">
        <v>35</v>
      </c>
      <c r="B7" s="3" t="str">
        <f t="shared" ca="1" si="0"/>
        <v>Neel</v>
      </c>
      <c r="C7" s="3" t="str">
        <f t="shared" ca="1" si="1"/>
        <v>South</v>
      </c>
      <c r="D7" s="3">
        <f t="shared" ca="1" si="2"/>
        <v>46186</v>
      </c>
      <c r="E7" s="4">
        <f t="shared" ca="1" si="2"/>
        <v>46032</v>
      </c>
      <c r="G7" s="9"/>
    </row>
    <row r="8" spans="1:8" ht="43.5" x14ac:dyDescent="0.35">
      <c r="A8" s="5" t="s">
        <v>36</v>
      </c>
      <c r="B8" s="3" t="str">
        <f t="shared" ca="1" si="0"/>
        <v>Rohan</v>
      </c>
      <c r="C8" s="3" t="str">
        <f t="shared" ca="1" si="1"/>
        <v>South</v>
      </c>
      <c r="D8" s="3">
        <f t="shared" ca="1" si="2"/>
        <v>46088</v>
      </c>
      <c r="E8" s="4">
        <f t="shared" ca="1" si="2"/>
        <v>46076</v>
      </c>
    </row>
    <row r="9" spans="1:8" ht="29" x14ac:dyDescent="0.35">
      <c r="A9" s="5" t="s">
        <v>35</v>
      </c>
      <c r="B9" s="3" t="str">
        <f t="shared" ca="1" si="0"/>
        <v>Ruhi</v>
      </c>
      <c r="C9" s="3" t="str">
        <f t="shared" ca="1" si="1"/>
        <v>West</v>
      </c>
      <c r="D9" s="3">
        <f t="shared" ca="1" si="2"/>
        <v>46071</v>
      </c>
      <c r="E9" s="4">
        <f t="shared" ca="1" si="2"/>
        <v>46145</v>
      </c>
    </row>
    <row r="10" spans="1:8" ht="43.5" x14ac:dyDescent="0.35">
      <c r="A10" s="5" t="s">
        <v>36</v>
      </c>
      <c r="B10" s="3" t="str">
        <f t="shared" ca="1" si="0"/>
        <v>Rohan</v>
      </c>
      <c r="C10" s="3" t="str">
        <f t="shared" ca="1" si="1"/>
        <v>South</v>
      </c>
      <c r="D10" s="3">
        <f t="shared" ca="1" si="2"/>
        <v>46171</v>
      </c>
      <c r="E10" s="4">
        <f t="shared" ca="1" si="2"/>
        <v>46176</v>
      </c>
    </row>
    <row r="11" spans="1:8" ht="29" x14ac:dyDescent="0.35">
      <c r="A11" s="5" t="s">
        <v>35</v>
      </c>
      <c r="B11" s="3" t="str">
        <f t="shared" ca="1" si="0"/>
        <v>Het</v>
      </c>
      <c r="C11" s="3" t="str">
        <f t="shared" ca="1" si="1"/>
        <v>North</v>
      </c>
      <c r="D11" s="3">
        <f t="shared" ca="1" si="2"/>
        <v>46125</v>
      </c>
      <c r="E11" s="4">
        <f t="shared" ca="1" si="2"/>
        <v>46118</v>
      </c>
    </row>
    <row r="12" spans="1:8" ht="43.5" x14ac:dyDescent="0.35">
      <c r="A12" s="5" t="s">
        <v>36</v>
      </c>
      <c r="B12" s="3" t="str">
        <f t="shared" ca="1" si="0"/>
        <v>Rohan</v>
      </c>
      <c r="C12" s="3" t="str">
        <f t="shared" ca="1" si="1"/>
        <v>East</v>
      </c>
      <c r="D12" s="3">
        <f t="shared" ca="1" si="2"/>
        <v>46038</v>
      </c>
      <c r="E12" s="4">
        <f t="shared" ca="1" si="2"/>
        <v>46106</v>
      </c>
    </row>
    <row r="13" spans="1:8" ht="29" x14ac:dyDescent="0.35">
      <c r="A13" s="5" t="s">
        <v>35</v>
      </c>
      <c r="B13" s="3" t="str">
        <f t="shared" ca="1" si="0"/>
        <v>Het</v>
      </c>
      <c r="C13" s="3" t="str">
        <f t="shared" ca="1" si="1"/>
        <v>South</v>
      </c>
      <c r="D13" s="3">
        <f t="shared" ca="1" si="2"/>
        <v>46061</v>
      </c>
      <c r="E13" s="4">
        <f t="shared" ca="1" si="2"/>
        <v>46038</v>
      </c>
    </row>
    <row r="14" spans="1:8" ht="43.5" x14ac:dyDescent="0.35">
      <c r="A14" s="5" t="s">
        <v>36</v>
      </c>
      <c r="B14" s="3" t="str">
        <f t="shared" ca="1" si="0"/>
        <v>Rohan</v>
      </c>
      <c r="C14" s="3" t="str">
        <f t="shared" ca="1" si="1"/>
        <v>North</v>
      </c>
      <c r="D14" s="3">
        <f t="shared" ca="1" si="2"/>
        <v>46158</v>
      </c>
      <c r="E14" s="4">
        <f t="shared" ca="1" si="2"/>
        <v>46070</v>
      </c>
    </row>
    <row r="15" spans="1:8" ht="29" x14ac:dyDescent="0.35">
      <c r="A15" s="5" t="s">
        <v>35</v>
      </c>
      <c r="B15" s="3" t="str">
        <f t="shared" ca="1" si="0"/>
        <v>Ramesh</v>
      </c>
      <c r="C15" s="3" t="str">
        <f t="shared" ca="1" si="1"/>
        <v>West</v>
      </c>
      <c r="D15" s="3">
        <f t="shared" ca="1" si="2"/>
        <v>46157</v>
      </c>
      <c r="E15" s="4">
        <f t="shared" ca="1" si="2"/>
        <v>46128</v>
      </c>
    </row>
    <row r="16" spans="1:8" ht="43.5" x14ac:dyDescent="0.35">
      <c r="A16" s="5" t="s">
        <v>36</v>
      </c>
      <c r="B16" s="3" t="str">
        <f t="shared" ca="1" si="0"/>
        <v>Ruhi</v>
      </c>
      <c r="C16" s="3" t="str">
        <f t="shared" ca="1" si="1"/>
        <v>West</v>
      </c>
      <c r="D16" s="3">
        <f t="shared" ca="1" si="2"/>
        <v>46047</v>
      </c>
      <c r="E16" s="4">
        <f t="shared" ca="1" si="2"/>
        <v>46112</v>
      </c>
    </row>
    <row r="17" spans="1:5" ht="29" x14ac:dyDescent="0.35">
      <c r="A17" s="5" t="s">
        <v>35</v>
      </c>
      <c r="B17" s="3" t="str">
        <f t="shared" ca="1" si="0"/>
        <v>Ruhi</v>
      </c>
      <c r="C17" s="3" t="str">
        <f t="shared" ca="1" si="1"/>
        <v>West</v>
      </c>
      <c r="D17" s="3">
        <f t="shared" ca="1" si="2"/>
        <v>46036</v>
      </c>
      <c r="E17" s="4">
        <f t="shared" ca="1" si="2"/>
        <v>46183</v>
      </c>
    </row>
    <row r="18" spans="1:5" ht="43.5" x14ac:dyDescent="0.35">
      <c r="A18" s="5" t="s">
        <v>36</v>
      </c>
      <c r="B18" s="3" t="str">
        <f t="shared" ca="1" si="0"/>
        <v>Ramu</v>
      </c>
      <c r="C18" s="3" t="str">
        <f t="shared" ca="1" si="1"/>
        <v>West</v>
      </c>
      <c r="D18" s="3">
        <f t="shared" ca="1" si="2"/>
        <v>46107</v>
      </c>
      <c r="E18" s="4">
        <f t="shared" ca="1" si="2"/>
        <v>46190</v>
      </c>
    </row>
    <row r="19" spans="1:5" ht="29" x14ac:dyDescent="0.35">
      <c r="A19" s="5" t="s">
        <v>35</v>
      </c>
      <c r="B19" s="3" t="str">
        <f t="shared" ca="1" si="0"/>
        <v>Ruhi</v>
      </c>
      <c r="C19" s="3" t="str">
        <f t="shared" ca="1" si="1"/>
        <v>South</v>
      </c>
      <c r="D19" s="3">
        <f t="shared" ca="1" si="2"/>
        <v>46044</v>
      </c>
      <c r="E19" s="4">
        <f t="shared" ca="1" si="2"/>
        <v>46028</v>
      </c>
    </row>
    <row r="20" spans="1:5" ht="43.5" x14ac:dyDescent="0.35">
      <c r="A20" s="5" t="s">
        <v>36</v>
      </c>
      <c r="B20" s="3" t="str">
        <f t="shared" ca="1" si="0"/>
        <v>Aditi</v>
      </c>
      <c r="C20" s="3" t="str">
        <f t="shared" ca="1" si="1"/>
        <v>West</v>
      </c>
      <c r="D20" s="3">
        <f t="shared" ca="1" si="2"/>
        <v>46130</v>
      </c>
      <c r="E20" s="4">
        <f t="shared" ca="1" si="2"/>
        <v>46203</v>
      </c>
    </row>
    <row r="21" spans="1:5" ht="29" x14ac:dyDescent="0.35">
      <c r="A21" s="5" t="s">
        <v>35</v>
      </c>
      <c r="B21" s="3" t="str">
        <f t="shared" ca="1" si="0"/>
        <v>Neel</v>
      </c>
      <c r="C21" s="3" t="str">
        <f t="shared" ca="1" si="1"/>
        <v>North</v>
      </c>
      <c r="D21" s="3">
        <f t="shared" ca="1" si="2"/>
        <v>46051</v>
      </c>
      <c r="E21" s="4">
        <f t="shared" ca="1" si="2"/>
        <v>46177</v>
      </c>
    </row>
    <row r="22" spans="1:5" ht="43.5" x14ac:dyDescent="0.35">
      <c r="A22" s="5" t="s">
        <v>36</v>
      </c>
      <c r="B22" s="3" t="str">
        <f t="shared" ca="1" si="0"/>
        <v>Rohan</v>
      </c>
      <c r="C22" s="3" t="str">
        <f t="shared" ca="1" si="1"/>
        <v>North</v>
      </c>
      <c r="D22" s="3">
        <f t="shared" ca="1" si="2"/>
        <v>46098</v>
      </c>
      <c r="E22" s="4">
        <f t="shared" ca="1" si="2"/>
        <v>46039</v>
      </c>
    </row>
  </sheetData>
  <mergeCells count="1">
    <mergeCell ref="A1:E1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81A6-BC54-4332-A127-57C3BA835AB7}">
  <dimension ref="A1:I6"/>
  <sheetViews>
    <sheetView workbookViewId="0">
      <selection activeCell="G3" sqref="G3"/>
    </sheetView>
  </sheetViews>
  <sheetFormatPr defaultRowHeight="14.5" x14ac:dyDescent="0.35"/>
  <cols>
    <col min="1" max="1" width="9.54296875" bestFit="1" customWidth="1"/>
    <col min="2" max="2" width="10.08984375" bestFit="1" customWidth="1"/>
    <col min="3" max="3" width="12.1796875" bestFit="1" customWidth="1"/>
    <col min="6" max="6" width="11.36328125" bestFit="1" customWidth="1"/>
    <col min="7" max="7" width="10.81640625" bestFit="1" customWidth="1"/>
    <col min="8" max="8" width="10.453125" bestFit="1" customWidth="1"/>
  </cols>
  <sheetData>
    <row r="1" spans="1:9" x14ac:dyDescent="0.35">
      <c r="A1" t="s">
        <v>48</v>
      </c>
      <c r="B1" t="s">
        <v>49</v>
      </c>
      <c r="C1" t="s">
        <v>29</v>
      </c>
      <c r="F1" t="s">
        <v>97</v>
      </c>
      <c r="G1" t="s">
        <v>96</v>
      </c>
      <c r="H1" t="s">
        <v>95</v>
      </c>
      <c r="I1" t="s">
        <v>98</v>
      </c>
    </row>
    <row r="2" spans="1:9" x14ac:dyDescent="0.35">
      <c r="A2" t="s">
        <v>50</v>
      </c>
      <c r="B2" s="1">
        <v>45292</v>
      </c>
      <c r="C2">
        <v>12000</v>
      </c>
      <c r="F2">
        <f>AVERAGE(C2:C6)</f>
        <v>18400</v>
      </c>
      <c r="G2">
        <f>MAX(C2:C6)</f>
        <v>32000</v>
      </c>
      <c r="H2">
        <f>MIN(C2:C6)</f>
        <v>8000</v>
      </c>
      <c r="I2">
        <f>SUM(C2:C6)</f>
        <v>92000</v>
      </c>
    </row>
    <row r="3" spans="1:9" x14ac:dyDescent="0.35">
      <c r="A3" t="s">
        <v>51</v>
      </c>
      <c r="B3" s="1">
        <v>45294</v>
      </c>
      <c r="C3">
        <v>25000</v>
      </c>
    </row>
    <row r="4" spans="1:9" x14ac:dyDescent="0.35">
      <c r="A4" t="s">
        <v>52</v>
      </c>
      <c r="B4" s="1">
        <v>45296</v>
      </c>
      <c r="C4">
        <v>8000</v>
      </c>
    </row>
    <row r="5" spans="1:9" x14ac:dyDescent="0.35">
      <c r="A5" t="s">
        <v>53</v>
      </c>
      <c r="B5" s="1">
        <v>45299</v>
      </c>
      <c r="C5">
        <v>32000</v>
      </c>
    </row>
    <row r="6" spans="1:9" x14ac:dyDescent="0.35">
      <c r="A6" t="s">
        <v>54</v>
      </c>
      <c r="B6" s="1">
        <v>45301</v>
      </c>
      <c r="C6">
        <v>15000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2918-8749-48B8-BA20-7EE85631A0C9}">
  <dimension ref="A1:E7"/>
  <sheetViews>
    <sheetView tabSelected="1" workbookViewId="0">
      <selection activeCell="F6" sqref="F6"/>
    </sheetView>
  </sheetViews>
  <sheetFormatPr defaultRowHeight="14.5" x14ac:dyDescent="0.35"/>
  <cols>
    <col min="2" max="2" width="10.90625" bestFit="1" customWidth="1"/>
  </cols>
  <sheetData>
    <row r="1" spans="1:5" x14ac:dyDescent="0.35">
      <c r="A1" t="s">
        <v>55</v>
      </c>
      <c r="B1" t="s">
        <v>2</v>
      </c>
      <c r="C1" t="s">
        <v>3</v>
      </c>
    </row>
    <row r="2" spans="1:5" x14ac:dyDescent="0.35">
      <c r="A2" t="s">
        <v>56</v>
      </c>
      <c r="B2" t="s">
        <v>6</v>
      </c>
      <c r="C2">
        <v>28000</v>
      </c>
      <c r="D2" t="e" cm="1">
        <f t="array" ref="D2">SUMIF(A2:B100,C2,F2B2:B100)</f>
        <v>#NAME?</v>
      </c>
    </row>
    <row r="3" spans="1:5" x14ac:dyDescent="0.35">
      <c r="A3" t="s">
        <v>57</v>
      </c>
      <c r="B3" t="s">
        <v>8</v>
      </c>
      <c r="C3">
        <v>45000</v>
      </c>
    </row>
    <row r="4" spans="1:5" x14ac:dyDescent="0.35">
      <c r="A4" t="s">
        <v>58</v>
      </c>
      <c r="B4" t="s">
        <v>8</v>
      </c>
      <c r="C4">
        <v>50000</v>
      </c>
    </row>
    <row r="5" spans="1:5" x14ac:dyDescent="0.35">
      <c r="A5" t="s">
        <v>59</v>
      </c>
      <c r="B5" t="s">
        <v>10</v>
      </c>
      <c r="C5">
        <v>42000</v>
      </c>
    </row>
    <row r="6" spans="1:5" x14ac:dyDescent="0.35">
      <c r="A6" t="s">
        <v>60</v>
      </c>
      <c r="B6" t="s">
        <v>6</v>
      </c>
      <c r="C6">
        <v>30000</v>
      </c>
    </row>
    <row r="7" spans="1:5" x14ac:dyDescent="0.35">
      <c r="A7" t="s">
        <v>61</v>
      </c>
      <c r="B7" t="s">
        <v>10</v>
      </c>
      <c r="C7">
        <v>38000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8F7D-682C-49EE-8EBF-3C59EE10AA1A}">
  <dimension ref="A1:H11"/>
  <sheetViews>
    <sheetView workbookViewId="0">
      <selection activeCell="A12" sqref="A12"/>
    </sheetView>
  </sheetViews>
  <sheetFormatPr defaultRowHeight="14.5" x14ac:dyDescent="0.35"/>
  <cols>
    <col min="1" max="1" width="12.6328125" bestFit="1" customWidth="1"/>
  </cols>
  <sheetData>
    <row r="1" spans="1:8" x14ac:dyDescent="0.35">
      <c r="A1" s="3" t="s">
        <v>38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93</v>
      </c>
      <c r="H1" s="3" t="s">
        <v>94</v>
      </c>
    </row>
    <row r="2" spans="1:8" x14ac:dyDescent="0.35">
      <c r="A2" s="3" t="s">
        <v>43</v>
      </c>
      <c r="B2" s="3" t="s">
        <v>67</v>
      </c>
      <c r="C2" s="3" t="s">
        <v>68</v>
      </c>
      <c r="D2" s="3" t="s">
        <v>67</v>
      </c>
      <c r="E2" s="3" t="s">
        <v>67</v>
      </c>
      <c r="F2" s="3" t="s">
        <v>67</v>
      </c>
      <c r="G2" s="3">
        <f>COUNTIF(B2:F2,$B$2)</f>
        <v>4</v>
      </c>
      <c r="H2" s="3">
        <f>COUNTIF(B2:F2,$C$2)</f>
        <v>1</v>
      </c>
    </row>
    <row r="3" spans="1:8" x14ac:dyDescent="0.35">
      <c r="A3" s="3" t="s">
        <v>44</v>
      </c>
      <c r="B3" s="3" t="s">
        <v>67</v>
      </c>
      <c r="C3" s="3" t="s">
        <v>67</v>
      </c>
      <c r="D3" s="3" t="s">
        <v>67</v>
      </c>
      <c r="E3" s="3" t="s">
        <v>68</v>
      </c>
      <c r="F3" s="3" t="s">
        <v>67</v>
      </c>
      <c r="G3" s="3">
        <f t="shared" ref="G3:G11" si="0">COUNTIF(B3:F3,$B$2)</f>
        <v>4</v>
      </c>
      <c r="H3" s="3">
        <f t="shared" ref="H3:H11" si="1">COUNTIF(B3:F3,$C$2)</f>
        <v>1</v>
      </c>
    </row>
    <row r="4" spans="1:8" x14ac:dyDescent="0.35">
      <c r="A4" s="3" t="s">
        <v>45</v>
      </c>
      <c r="B4" s="3" t="s">
        <v>68</v>
      </c>
      <c r="C4" s="3" t="s">
        <v>67</v>
      </c>
      <c r="D4" s="3" t="s">
        <v>67</v>
      </c>
      <c r="E4" s="3" t="s">
        <v>67</v>
      </c>
      <c r="F4" s="3" t="s">
        <v>67</v>
      </c>
      <c r="G4" s="3">
        <f t="shared" si="0"/>
        <v>4</v>
      </c>
      <c r="H4" s="3">
        <f t="shared" si="1"/>
        <v>1</v>
      </c>
    </row>
    <row r="5" spans="1:8" x14ac:dyDescent="0.35">
      <c r="A5" s="3" t="s">
        <v>46</v>
      </c>
      <c r="B5" s="3" t="s">
        <v>67</v>
      </c>
      <c r="C5" s="3" t="s">
        <v>68</v>
      </c>
      <c r="D5" s="3" t="s">
        <v>68</v>
      </c>
      <c r="E5" s="3" t="s">
        <v>67</v>
      </c>
      <c r="F5" s="3" t="s">
        <v>68</v>
      </c>
      <c r="G5" s="3">
        <f t="shared" si="0"/>
        <v>2</v>
      </c>
      <c r="H5" s="3">
        <f t="shared" si="1"/>
        <v>3</v>
      </c>
    </row>
    <row r="6" spans="1:8" x14ac:dyDescent="0.35">
      <c r="A6" s="3" t="s">
        <v>43</v>
      </c>
      <c r="B6" s="3" t="s">
        <v>67</v>
      </c>
      <c r="C6" s="3" t="s">
        <v>68</v>
      </c>
      <c r="D6" s="3" t="s">
        <v>67</v>
      </c>
      <c r="E6" s="3" t="s">
        <v>67</v>
      </c>
      <c r="F6" s="3" t="s">
        <v>68</v>
      </c>
      <c r="G6" s="3">
        <f t="shared" si="0"/>
        <v>3</v>
      </c>
      <c r="H6" s="3">
        <f t="shared" si="1"/>
        <v>2</v>
      </c>
    </row>
    <row r="7" spans="1:8" x14ac:dyDescent="0.35">
      <c r="A7" s="3" t="s">
        <v>44</v>
      </c>
      <c r="B7" s="3" t="s">
        <v>67</v>
      </c>
      <c r="C7" s="3" t="s">
        <v>68</v>
      </c>
      <c r="D7" s="3" t="s">
        <v>67</v>
      </c>
      <c r="E7" s="3" t="s">
        <v>67</v>
      </c>
      <c r="F7" s="3" t="s">
        <v>68</v>
      </c>
      <c r="G7" s="3">
        <f t="shared" si="0"/>
        <v>3</v>
      </c>
      <c r="H7" s="3">
        <f t="shared" si="1"/>
        <v>2</v>
      </c>
    </row>
    <row r="8" spans="1:8" x14ac:dyDescent="0.35">
      <c r="A8" s="3" t="s">
        <v>45</v>
      </c>
      <c r="B8" s="3" t="s">
        <v>68</v>
      </c>
      <c r="C8" s="3" t="s">
        <v>68</v>
      </c>
      <c r="D8" s="3" t="s">
        <v>67</v>
      </c>
      <c r="E8" s="3" t="s">
        <v>67</v>
      </c>
      <c r="F8" s="3" t="s">
        <v>68</v>
      </c>
      <c r="G8" s="3">
        <f t="shared" si="0"/>
        <v>2</v>
      </c>
      <c r="H8" s="3">
        <f t="shared" si="1"/>
        <v>3</v>
      </c>
    </row>
    <row r="9" spans="1:8" x14ac:dyDescent="0.35">
      <c r="A9" s="3" t="s">
        <v>46</v>
      </c>
      <c r="B9" s="3" t="s">
        <v>67</v>
      </c>
      <c r="C9" s="3" t="s">
        <v>68</v>
      </c>
      <c r="D9" s="3" t="s">
        <v>68</v>
      </c>
      <c r="E9" s="3" t="s">
        <v>67</v>
      </c>
      <c r="F9" s="3" t="s">
        <v>68</v>
      </c>
      <c r="G9" s="3">
        <f t="shared" si="0"/>
        <v>2</v>
      </c>
      <c r="H9" s="3">
        <f t="shared" si="1"/>
        <v>3</v>
      </c>
    </row>
    <row r="10" spans="1:8" x14ac:dyDescent="0.35">
      <c r="A10" s="3" t="s">
        <v>43</v>
      </c>
      <c r="B10" s="3" t="s">
        <v>67</v>
      </c>
      <c r="C10" s="3" t="s">
        <v>68</v>
      </c>
      <c r="D10" s="3" t="s">
        <v>67</v>
      </c>
      <c r="E10" s="3" t="s">
        <v>67</v>
      </c>
      <c r="F10" s="3" t="s">
        <v>68</v>
      </c>
      <c r="G10" s="3">
        <f t="shared" si="0"/>
        <v>3</v>
      </c>
      <c r="H10" s="3">
        <f t="shared" si="1"/>
        <v>2</v>
      </c>
    </row>
    <row r="11" spans="1:8" x14ac:dyDescent="0.35">
      <c r="A11" s="3" t="s">
        <v>44</v>
      </c>
      <c r="B11" s="3" t="s">
        <v>67</v>
      </c>
      <c r="C11" s="3" t="s">
        <v>68</v>
      </c>
      <c r="D11" s="3" t="s">
        <v>67</v>
      </c>
      <c r="E11" s="3" t="s">
        <v>67</v>
      </c>
      <c r="F11" s="3" t="s">
        <v>68</v>
      </c>
      <c r="G11" s="3">
        <f t="shared" si="0"/>
        <v>3</v>
      </c>
      <c r="H11" s="3">
        <f t="shared" si="1"/>
        <v>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5646-6C15-44D7-A495-5A6D656495E4}">
  <dimension ref="A1:D7"/>
  <sheetViews>
    <sheetView workbookViewId="0">
      <selection activeCell="E14" sqref="E14"/>
    </sheetView>
  </sheetViews>
  <sheetFormatPr defaultRowHeight="14.5" x14ac:dyDescent="0.35"/>
  <cols>
    <col min="2" max="2" width="12.1796875" bestFit="1" customWidth="1"/>
  </cols>
  <sheetData>
    <row r="1" spans="1:4" x14ac:dyDescent="0.35">
      <c r="A1" t="s">
        <v>69</v>
      </c>
      <c r="B1" t="s">
        <v>29</v>
      </c>
    </row>
    <row r="2" spans="1:4" x14ac:dyDescent="0.35">
      <c r="A2" t="s">
        <v>70</v>
      </c>
      <c r="B2">
        <v>4500</v>
      </c>
    </row>
    <row r="3" spans="1:4" x14ac:dyDescent="0.35">
      <c r="A3" t="s">
        <v>71</v>
      </c>
      <c r="B3">
        <v>12000</v>
      </c>
    </row>
    <row r="4" spans="1:4" x14ac:dyDescent="0.35">
      <c r="A4" t="s">
        <v>72</v>
      </c>
      <c r="B4">
        <v>8000</v>
      </c>
    </row>
    <row r="5" spans="1:4" x14ac:dyDescent="0.35">
      <c r="A5" t="s">
        <v>73</v>
      </c>
      <c r="B5">
        <v>25000</v>
      </c>
    </row>
    <row r="6" spans="1:4" x14ac:dyDescent="0.35">
      <c r="A6" t="s">
        <v>74</v>
      </c>
      <c r="B6">
        <v>3000</v>
      </c>
    </row>
    <row r="7" spans="1:4" x14ac:dyDescent="0.35">
      <c r="A7" t="s">
        <v>75</v>
      </c>
      <c r="B7">
        <v>15000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DCE5-3ED0-4A01-B205-239F46F95442}">
  <dimension ref="A1:D6"/>
  <sheetViews>
    <sheetView workbookViewId="0">
      <selection activeCell="A9" sqref="A9"/>
    </sheetView>
  </sheetViews>
  <sheetFormatPr defaultRowHeight="14.5" x14ac:dyDescent="0.35"/>
  <cols>
    <col min="1" max="1" width="11.36328125" bestFit="1" customWidth="1"/>
    <col min="2" max="2" width="12.1796875" bestFit="1" customWidth="1"/>
  </cols>
  <sheetData>
    <row r="1" spans="1:4" x14ac:dyDescent="0.35">
      <c r="A1" s="3" t="s">
        <v>76</v>
      </c>
      <c r="B1" s="3" t="s">
        <v>29</v>
      </c>
    </row>
    <row r="2" spans="1:4" x14ac:dyDescent="0.35">
      <c r="A2" s="10" t="s">
        <v>77</v>
      </c>
      <c r="B2" s="10">
        <v>22000</v>
      </c>
    </row>
    <row r="3" spans="1:4" x14ac:dyDescent="0.35">
      <c r="A3" s="11" t="s">
        <v>78</v>
      </c>
      <c r="B3" s="11">
        <v>3500</v>
      </c>
    </row>
    <row r="4" spans="1:4" x14ac:dyDescent="0.35">
      <c r="A4" s="10" t="s">
        <v>79</v>
      </c>
      <c r="B4" s="10">
        <v>58000</v>
      </c>
    </row>
    <row r="5" spans="1:4" x14ac:dyDescent="0.35">
      <c r="A5" s="11" t="s">
        <v>80</v>
      </c>
      <c r="B5" s="11">
        <v>1800</v>
      </c>
    </row>
    <row r="6" spans="1:4" x14ac:dyDescent="0.35">
      <c r="A6" s="10" t="s">
        <v>81</v>
      </c>
      <c r="B6" s="10">
        <v>12000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AE84-A5AE-40B7-B73C-9CEF0A4D4C05}">
  <dimension ref="A1:F6"/>
  <sheetViews>
    <sheetView workbookViewId="0">
      <selection activeCell="D9" sqref="D9"/>
    </sheetView>
  </sheetViews>
  <sheetFormatPr defaultRowHeight="14.5" x14ac:dyDescent="0.35"/>
  <sheetData>
    <row r="1" spans="1:6" x14ac:dyDescent="0.35">
      <c r="A1" t="s">
        <v>37</v>
      </c>
      <c r="B1" t="s">
        <v>1</v>
      </c>
      <c r="C1" t="s">
        <v>82</v>
      </c>
    </row>
    <row r="2" spans="1:6" x14ac:dyDescent="0.35">
      <c r="A2">
        <v>1</v>
      </c>
      <c r="B2" t="s">
        <v>60</v>
      </c>
      <c r="C2">
        <v>85</v>
      </c>
    </row>
    <row r="3" spans="1:6" x14ac:dyDescent="0.35">
      <c r="A3">
        <v>2</v>
      </c>
      <c r="B3" t="s">
        <v>83</v>
      </c>
      <c r="C3">
        <v>72</v>
      </c>
    </row>
    <row r="4" spans="1:6" x14ac:dyDescent="0.35">
      <c r="A4">
        <v>3</v>
      </c>
      <c r="B4" t="s">
        <v>84</v>
      </c>
      <c r="C4">
        <v>39</v>
      </c>
    </row>
    <row r="5" spans="1:6" x14ac:dyDescent="0.35">
      <c r="A5">
        <v>4</v>
      </c>
      <c r="B5" t="s">
        <v>85</v>
      </c>
      <c r="C5">
        <v>91</v>
      </c>
    </row>
    <row r="6" spans="1:6" x14ac:dyDescent="0.35">
      <c r="A6">
        <v>5</v>
      </c>
      <c r="B6" t="s">
        <v>86</v>
      </c>
      <c r="C6">
        <v>28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E2AC-4D40-4754-9C92-7C037754AAA4}">
  <dimension ref="A1:I10"/>
  <sheetViews>
    <sheetView workbookViewId="0">
      <selection activeCell="F13" sqref="F13"/>
    </sheetView>
  </sheetViews>
  <sheetFormatPr defaultRowHeight="14.5" x14ac:dyDescent="0.35"/>
  <sheetData>
    <row r="1" spans="1:9" x14ac:dyDescent="0.35">
      <c r="A1" t="s">
        <v>55</v>
      </c>
      <c r="B1" t="s">
        <v>3</v>
      </c>
    </row>
    <row r="2" spans="1:9" x14ac:dyDescent="0.35">
      <c r="A2" t="s">
        <v>88</v>
      </c>
      <c r="B2">
        <v>28000</v>
      </c>
    </row>
    <row r="3" spans="1:9" x14ac:dyDescent="0.35">
      <c r="A3" t="s">
        <v>89</v>
      </c>
      <c r="B3">
        <v>34000</v>
      </c>
    </row>
    <row r="4" spans="1:9" x14ac:dyDescent="0.35">
      <c r="A4" t="s">
        <v>90</v>
      </c>
      <c r="B4">
        <v>51000</v>
      </c>
    </row>
    <row r="5" spans="1:9" x14ac:dyDescent="0.35">
      <c r="A5" t="s">
        <v>91</v>
      </c>
      <c r="B5">
        <v>47000</v>
      </c>
    </row>
    <row r="6" spans="1:9" x14ac:dyDescent="0.35">
      <c r="A6" t="s">
        <v>92</v>
      </c>
      <c r="B6">
        <v>29000</v>
      </c>
    </row>
    <row r="10" spans="1:9" x14ac:dyDescent="0.35">
      <c r="I10" s="12" t="s">
        <v>87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8C4E-D849-48D8-AB7D-C6401A8AACBB}">
  <dimension ref="A1:F6"/>
  <sheetViews>
    <sheetView zoomScaleNormal="100" workbookViewId="0">
      <selection activeCell="D21" sqref="D21"/>
    </sheetView>
  </sheetViews>
  <sheetFormatPr defaultRowHeight="14.5" x14ac:dyDescent="0.35"/>
  <cols>
    <col min="2" max="2" width="12.6328125" bestFit="1" customWidth="1"/>
    <col min="6" max="6" width="10" bestFit="1" customWidth="1"/>
  </cols>
  <sheetData>
    <row r="1" spans="1:6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35">
      <c r="A2">
        <v>1</v>
      </c>
      <c r="B2" t="s">
        <v>43</v>
      </c>
      <c r="C2">
        <v>78</v>
      </c>
      <c r="D2">
        <v>82</v>
      </c>
      <c r="E2">
        <v>74</v>
      </c>
      <c r="F2" s="7"/>
    </row>
    <row r="3" spans="1:6" x14ac:dyDescent="0.35">
      <c r="A3">
        <v>2</v>
      </c>
      <c r="B3" t="s">
        <v>44</v>
      </c>
      <c r="C3">
        <v>65</v>
      </c>
      <c r="D3">
        <v>70</v>
      </c>
      <c r="E3">
        <v>68</v>
      </c>
      <c r="F3" s="8"/>
    </row>
    <row r="4" spans="1:6" x14ac:dyDescent="0.35">
      <c r="A4">
        <v>3</v>
      </c>
      <c r="B4" t="s">
        <v>45</v>
      </c>
      <c r="C4">
        <v>90</v>
      </c>
      <c r="D4">
        <v>88</v>
      </c>
      <c r="E4">
        <v>92</v>
      </c>
    </row>
    <row r="5" spans="1:6" x14ac:dyDescent="0.35">
      <c r="A5">
        <v>4</v>
      </c>
      <c r="B5" t="s">
        <v>46</v>
      </c>
      <c r="C5">
        <v>35</v>
      </c>
      <c r="D5">
        <v>40</v>
      </c>
      <c r="E5">
        <v>38</v>
      </c>
    </row>
    <row r="6" spans="1:6" x14ac:dyDescent="0.35">
      <c r="A6">
        <v>5</v>
      </c>
      <c r="B6" t="s">
        <v>47</v>
      </c>
      <c r="C6">
        <v>55</v>
      </c>
      <c r="D6">
        <v>60</v>
      </c>
      <c r="E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Sheet</vt:lpstr>
      <vt:lpstr>Sales Report Beautifications</vt:lpstr>
      <vt:lpstr>Sales Summary - Aggregation Fun</vt:lpstr>
      <vt:lpstr>Department Wise Salary Analysis</vt:lpstr>
      <vt:lpstr>Attendance Sheet – COUNTIF</vt:lpstr>
      <vt:lpstr>Sales Count Logic</vt:lpstr>
      <vt:lpstr>Conditional Formatting – Sales</vt:lpstr>
      <vt:lpstr>Student Result Highlight</vt:lpstr>
      <vt:lpstr>Salary Band – Conditional Forma</vt:lpstr>
      <vt:lpstr>Student Marksheet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ASDC18</dc:creator>
  <cp:lastModifiedBy>ASDC18</cp:lastModifiedBy>
  <dcterms:created xsi:type="dcterms:W3CDTF">2026-07-04T08:22:58Z</dcterms:created>
  <dcterms:modified xsi:type="dcterms:W3CDTF">2026-07-04T09:58:30Z</dcterms:modified>
</cp:coreProperties>
</file>